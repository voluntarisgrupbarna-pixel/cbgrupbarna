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targets" sheetId="1" state="visible" r:id="rId1"/>
    <sheet xmlns:r="http://schemas.openxmlformats.org/officeDocument/2006/relationships" name="Nivells i preus" sheetId="2" state="visible" r:id="rId2"/>
    <sheet xmlns:r="http://schemas.openxmlformats.org/officeDocument/2006/relationships" name="Calendari captacio" sheetId="3" state="visible" r:id="rId3"/>
    <sheet xmlns:r="http://schemas.openxmlformats.org/officeDocument/2006/relationships" name="Col.laboracions espec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EUR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A0A0A"/>
      <sz val="9"/>
    </font>
    <font>
      <name val="Arial"/>
      <b val="1"/>
      <color rgb="00FFFFFF"/>
      <sz val="10"/>
    </font>
    <font>
      <name val="Arial"/>
      <color rgb="000A0A0A"/>
      <sz val="10"/>
    </font>
    <font>
      <name val="Arial"/>
      <b val="1"/>
      <color rgb="00FFFFFF"/>
      <sz val="11"/>
    </font>
    <font>
      <name val="Arial"/>
      <b val="1"/>
      <color rgb="000A0A0A"/>
      <sz val="10"/>
    </font>
    <font>
      <name val="Arial"/>
      <color rgb="000A0A0A"/>
      <sz val="9"/>
    </font>
  </fonts>
  <fills count="6">
    <fill>
      <patternFill/>
    </fill>
    <fill>
      <patternFill patternType="gray125"/>
    </fill>
    <fill>
      <patternFill patternType="solid">
        <fgColor rgb="00FD030C"/>
      </patternFill>
    </fill>
    <fill>
      <patternFill patternType="solid">
        <fgColor rgb="00F2F2F2"/>
      </patternFill>
    </fill>
    <fill>
      <patternFill patternType="solid">
        <fgColor rgb="000A0A0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 wrapText="1"/>
    </xf>
    <xf numFmtId="9" fontId="4" fillId="5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left" vertical="center"/>
    </xf>
    <xf numFmtId="0" fontId="0" fillId="4" borderId="0" pivotButton="0" quotePrefix="0" xfId="0"/>
    <xf numFmtId="164" fontId="5" fillId="4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wrapText="1"/>
    </xf>
    <xf numFmtId="0" fontId="5" fillId="4" borderId="0" pivotButton="0" quotePrefix="0" xfId="0"/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20" customWidth="1" min="4" max="4"/>
    <col width="16" customWidth="1" min="5" max="5"/>
    <col width="16" customWidth="1" min="6" max="6"/>
    <col width="16" customWidth="1" min="7" max="7"/>
    <col width="12" customWidth="1" min="8" max="8"/>
    <col width="18" customWidth="1" min="9" max="9"/>
    <col width="30" customWidth="1" min="10" max="10"/>
    <col width="16" customWidth="1" min="11" max="11"/>
  </cols>
  <sheetData>
    <row r="1" ht="24" customHeight="1">
      <c r="A1" s="1" t="inlineStr">
        <is>
          <t>CB GRUP BARNA · PIPELINE DE PARTNERS 2026-27  (US INTERN — NO COMPARTIR)</t>
        </is>
      </c>
    </row>
    <row r="2" ht="28" customHeight="1">
      <c r="A2" s="2" t="inlineStr">
        <is>
          <t>Llegenda: emplena les cel.les grogues. 'Import ponderat' es calcula sol (import x probabilitat). Prioritza radi 1 km del pavello i families del club. Contactes = PLACEHOLDER, a confirmar amb dades reals.</t>
        </is>
      </c>
    </row>
    <row r="4" ht="30" customHeight="1">
      <c r="A4" s="3" t="inlineStr">
        <is>
          <t>Empresa (target)</t>
        </is>
      </c>
      <c r="B4" s="3" t="inlineStr">
        <is>
          <t>Sector</t>
        </is>
      </c>
      <c r="C4" s="3" t="inlineStr">
        <is>
          <t>Nivell objectiu</t>
        </is>
      </c>
      <c r="D4" s="3" t="inlineStr">
        <is>
          <t>Vincle / familia club</t>
        </is>
      </c>
      <c r="E4" s="3" t="inlineStr">
        <is>
          <t>Contacte</t>
        </is>
      </c>
      <c r="F4" s="3" t="inlineStr">
        <is>
          <t>Estat</t>
        </is>
      </c>
      <c r="G4" s="3" t="inlineStr">
        <is>
          <t>Import objectiu (EUR)</t>
        </is>
      </c>
      <c r="H4" s="3" t="inlineStr">
        <is>
          <t>Probabilitat</t>
        </is>
      </c>
      <c r="I4" s="3" t="inlineStr">
        <is>
          <t>Import ponderat (EUR)</t>
        </is>
      </c>
      <c r="J4" s="3" t="inlineStr">
        <is>
          <t>Propera accio</t>
        </is>
      </c>
      <c r="K4" s="3" t="inlineStr">
        <is>
          <t>Data propera accio</t>
        </is>
      </c>
    </row>
    <row r="5">
      <c r="A5" s="4" t="inlineStr">
        <is>
          <t>[EXEMPLE] Gran superficie comercial del barri</t>
        </is>
      </c>
      <c r="B5" s="4" t="inlineStr">
        <is>
          <t>Gran ancla</t>
        </is>
      </c>
      <c r="C5" s="4" t="inlineStr">
        <is>
          <t>Or</t>
        </is>
      </c>
      <c r="D5" s="4" t="inlineStr">
        <is>
          <t>No</t>
        </is>
      </c>
      <c r="E5" s="4" t="inlineStr">
        <is>
          <t>[A confirmar]</t>
        </is>
      </c>
      <c r="F5" s="5" t="inlineStr">
        <is>
          <t>Per contactar</t>
        </is>
      </c>
      <c r="G5" s="6" t="n">
        <v>12000</v>
      </c>
      <c r="H5" s="7" t="n">
        <v>0.25</v>
      </c>
      <c r="I5" s="8">
        <f>G5*H5</f>
        <v>3000</v>
      </c>
      <c r="J5" s="4" t="n"/>
    </row>
    <row r="6">
      <c r="A6" s="4" t="inlineStr">
        <is>
          <t>[Clinica dental — radi 1 km]</t>
        </is>
      </c>
      <c r="B6" s="4" t="inlineStr">
        <is>
          <t>Salut / benestar</t>
        </is>
      </c>
      <c r="C6" s="4" t="inlineStr">
        <is>
          <t>Plata</t>
        </is>
      </c>
      <c r="D6" s="4" t="inlineStr">
        <is>
          <t>[Revisar families]</t>
        </is>
      </c>
      <c r="E6" s="4" t="inlineStr">
        <is>
          <t>[A confirmar]</t>
        </is>
      </c>
      <c r="F6" s="5" t="inlineStr">
        <is>
          <t>Per contactar</t>
        </is>
      </c>
      <c r="G6" s="6" t="n">
        <v>4000</v>
      </c>
      <c r="H6" s="7" t="n">
        <v>0.3</v>
      </c>
      <c r="I6" s="8">
        <f>G6*H6</f>
        <v>1200</v>
      </c>
      <c r="J6" s="4" t="n"/>
    </row>
    <row r="7">
      <c r="A7" s="4" t="inlineStr">
        <is>
          <t>[Centre de fisioterapia]</t>
        </is>
      </c>
      <c r="B7" s="4" t="inlineStr">
        <is>
          <t>Salut / benestar</t>
        </is>
      </c>
      <c r="C7" s="4" t="inlineStr">
        <is>
          <t>Especie</t>
        </is>
      </c>
      <c r="D7" s="4" t="inlineStr">
        <is>
          <t>[Revisar families]</t>
        </is>
      </c>
      <c r="E7" s="4" t="inlineStr">
        <is>
          <t>[A confirmar]</t>
        </is>
      </c>
      <c r="F7" s="5" t="inlineStr">
        <is>
          <t>Per contactar</t>
        </is>
      </c>
      <c r="G7" s="6" t="n">
        <v>4000</v>
      </c>
      <c r="H7" s="7" t="n">
        <v>0.35</v>
      </c>
      <c r="I7" s="8">
        <f>G7*H7</f>
        <v>1400</v>
      </c>
      <c r="J7" s="4" t="n"/>
    </row>
    <row r="8">
      <c r="A8" s="4" t="inlineStr">
        <is>
          <t>[Farmacia de proximitat]</t>
        </is>
      </c>
      <c r="B8" s="4" t="inlineStr">
        <is>
          <t>Salut / benestar</t>
        </is>
      </c>
      <c r="C8" s="4" t="inlineStr">
        <is>
          <t>Bronze</t>
        </is>
      </c>
      <c r="D8" s="4" t="inlineStr">
        <is>
          <t>No</t>
        </is>
      </c>
      <c r="E8" s="4" t="inlineStr">
        <is>
          <t>[A confirmar]</t>
        </is>
      </c>
      <c r="F8" s="5" t="inlineStr">
        <is>
          <t>Per contactar</t>
        </is>
      </c>
      <c r="G8" s="6" t="n">
        <v>1500</v>
      </c>
      <c r="H8" s="7" t="n">
        <v>0.3</v>
      </c>
      <c r="I8" s="8">
        <f>G8*H8</f>
        <v>450</v>
      </c>
      <c r="J8" s="4" t="n"/>
    </row>
    <row r="9">
      <c r="A9" s="4" t="inlineStr">
        <is>
          <t>[Optica del barri]</t>
        </is>
      </c>
      <c r="B9" s="4" t="inlineStr">
        <is>
          <t>Salut / benestar</t>
        </is>
      </c>
      <c r="C9" s="4" t="inlineStr">
        <is>
          <t>Bronze</t>
        </is>
      </c>
      <c r="D9" s="4" t="inlineStr">
        <is>
          <t>No</t>
        </is>
      </c>
      <c r="E9" s="4" t="inlineStr">
        <is>
          <t>[A confirmar]</t>
        </is>
      </c>
      <c r="F9" s="5" t="inlineStr">
        <is>
          <t>Per contactar</t>
        </is>
      </c>
      <c r="G9" s="6" t="n">
        <v>1500</v>
      </c>
      <c r="H9" s="7" t="n">
        <v>0.25</v>
      </c>
      <c r="I9" s="8">
        <f>G9*H9</f>
        <v>375</v>
      </c>
      <c r="J9" s="4" t="n"/>
    </row>
    <row r="10">
      <c r="A10" s="4" t="inlineStr">
        <is>
          <t>[Restaurant / cafeteria del Clot]</t>
        </is>
      </c>
      <c r="B10" s="4" t="inlineStr">
        <is>
          <t>Restauracio</t>
        </is>
      </c>
      <c r="C10" s="4" t="inlineStr">
        <is>
          <t>Bronze</t>
        </is>
      </c>
      <c r="D10" s="4" t="inlineStr">
        <is>
          <t>[Revisar families]</t>
        </is>
      </c>
      <c r="E10" s="4" t="inlineStr">
        <is>
          <t>[A confirmar]</t>
        </is>
      </c>
      <c r="F10" s="5" t="inlineStr">
        <is>
          <t>Per contactar</t>
        </is>
      </c>
      <c r="G10" s="6" t="n">
        <v>1500</v>
      </c>
      <c r="H10" s="7" t="n">
        <v>0.3</v>
      </c>
      <c r="I10" s="8">
        <f>G10*H10</f>
        <v>450</v>
      </c>
      <c r="J10" s="4" t="n"/>
    </row>
    <row r="11">
      <c r="A11" s="4" t="inlineStr">
        <is>
          <t>[Forn / pastisseria]</t>
        </is>
      </c>
      <c r="B11" s="4" t="inlineStr">
        <is>
          <t>Restauracio</t>
        </is>
      </c>
      <c r="C11" s="4" t="inlineStr">
        <is>
          <t>Especie</t>
        </is>
      </c>
      <c r="D11" s="4" t="inlineStr">
        <is>
          <t>No</t>
        </is>
      </c>
      <c r="E11" s="4" t="inlineStr">
        <is>
          <t>[A confirmar]</t>
        </is>
      </c>
      <c r="F11" s="5" t="inlineStr">
        <is>
          <t>Per contactar</t>
        </is>
      </c>
      <c r="G11" s="6" t="n">
        <v>1500</v>
      </c>
      <c r="H11" s="7" t="n">
        <v>0.35</v>
      </c>
      <c r="I11" s="8">
        <f>G11*H11</f>
        <v>525</v>
      </c>
      <c r="J11" s="4" t="n"/>
    </row>
    <row r="12">
      <c r="A12" s="4" t="inlineStr">
        <is>
          <t>[Gelateria]</t>
        </is>
      </c>
      <c r="B12" s="4" t="inlineStr">
        <is>
          <t>Restauracio</t>
        </is>
      </c>
      <c r="C12" s="4" t="inlineStr">
        <is>
          <t>Bronze</t>
        </is>
      </c>
      <c r="D12" s="4" t="inlineStr">
        <is>
          <t>No</t>
        </is>
      </c>
      <c r="E12" s="4" t="inlineStr">
        <is>
          <t>[A confirmar]</t>
        </is>
      </c>
      <c r="F12" s="5" t="inlineStr">
        <is>
          <t>Per contactar</t>
        </is>
      </c>
      <c r="G12" s="6" t="n">
        <v>1000</v>
      </c>
      <c r="H12" s="7" t="n">
        <v>0.2</v>
      </c>
      <c r="I12" s="8">
        <f>G12*H12</f>
        <v>200</v>
      </c>
      <c r="J12" s="4" t="n"/>
    </row>
    <row r="13">
      <c r="A13" s="4" t="inlineStr">
        <is>
          <t>[Gestoria / assessoria]</t>
        </is>
      </c>
      <c r="B13" s="4" t="inlineStr">
        <is>
          <t>Serveis professionals</t>
        </is>
      </c>
      <c r="C13" s="4" t="inlineStr">
        <is>
          <t>Plata</t>
        </is>
      </c>
      <c r="D13" s="4" t="inlineStr">
        <is>
          <t>[Revisar families]</t>
        </is>
      </c>
      <c r="E13" s="4" t="inlineStr">
        <is>
          <t>[A confirmar]</t>
        </is>
      </c>
      <c r="F13" s="5" t="inlineStr">
        <is>
          <t>Per contactar</t>
        </is>
      </c>
      <c r="G13" s="6" t="n">
        <v>3500</v>
      </c>
      <c r="H13" s="7" t="n">
        <v>0.3</v>
      </c>
      <c r="I13" s="8">
        <f>G13*H13</f>
        <v>1050</v>
      </c>
      <c r="J13" s="4" t="n"/>
    </row>
    <row r="14">
      <c r="A14" s="4" t="inlineStr">
        <is>
          <t>[Immobiliaria de zona]</t>
        </is>
      </c>
      <c r="B14" s="4" t="inlineStr">
        <is>
          <t>Serveis professionals</t>
        </is>
      </c>
      <c r="C14" s="4" t="inlineStr">
        <is>
          <t>Plata</t>
        </is>
      </c>
      <c r="D14" s="4" t="inlineStr">
        <is>
          <t>No</t>
        </is>
      </c>
      <c r="E14" s="4" t="inlineStr">
        <is>
          <t>[A confirmar]</t>
        </is>
      </c>
      <c r="F14" s="5" t="inlineStr">
        <is>
          <t>Per contactar</t>
        </is>
      </c>
      <c r="G14" s="6" t="n">
        <v>4000</v>
      </c>
      <c r="H14" s="7" t="n">
        <v>0.25</v>
      </c>
      <c r="I14" s="8">
        <f>G14*H14</f>
        <v>1000</v>
      </c>
      <c r="J14" s="4" t="n"/>
    </row>
    <row r="15">
      <c r="A15" s="4" t="inlineStr">
        <is>
          <t>[Corredoria d'assegurances]</t>
        </is>
      </c>
      <c r="B15" s="4" t="inlineStr">
        <is>
          <t>Serveis professionals</t>
        </is>
      </c>
      <c r="C15" s="4" t="inlineStr">
        <is>
          <t>Bronze</t>
        </is>
      </c>
      <c r="D15" s="4" t="inlineStr">
        <is>
          <t>[Revisar families]</t>
        </is>
      </c>
      <c r="E15" s="4" t="inlineStr">
        <is>
          <t>[A confirmar]</t>
        </is>
      </c>
      <c r="F15" s="5" t="inlineStr">
        <is>
          <t>Per contactar</t>
        </is>
      </c>
      <c r="G15" s="6" t="n">
        <v>2000</v>
      </c>
      <c r="H15" s="7" t="n">
        <v>0.3</v>
      </c>
      <c r="I15" s="8">
        <f>G15*H15</f>
        <v>600</v>
      </c>
      <c r="J15" s="4" t="n"/>
    </row>
    <row r="16">
      <c r="A16" s="4" t="inlineStr">
        <is>
          <t>[Banca de proximitat / oficina]</t>
        </is>
      </c>
      <c r="B16" s="4" t="inlineStr">
        <is>
          <t>Serveis professionals</t>
        </is>
      </c>
      <c r="C16" s="4" t="inlineStr">
        <is>
          <t>Or</t>
        </is>
      </c>
      <c r="D16" s="4" t="inlineStr">
        <is>
          <t>No</t>
        </is>
      </c>
      <c r="E16" s="4" t="inlineStr">
        <is>
          <t>[A confirmar]</t>
        </is>
      </c>
      <c r="F16" s="5" t="inlineStr">
        <is>
          <t>Per contactar</t>
        </is>
      </c>
      <c r="G16" s="6" t="n">
        <v>10000</v>
      </c>
      <c r="H16" s="7" t="n">
        <v>0.15</v>
      </c>
      <c r="I16" s="8">
        <f>G16*H16</f>
        <v>1500</v>
      </c>
      <c r="J16" s="4" t="n"/>
    </row>
    <row r="17">
      <c r="A17" s="4" t="inlineStr">
        <is>
          <t>[Botiga d'esport]</t>
        </is>
      </c>
      <c r="B17" s="4" t="inlineStr">
        <is>
          <t>Retail / comerc</t>
        </is>
      </c>
      <c r="C17" s="4" t="inlineStr">
        <is>
          <t>Plata</t>
        </is>
      </c>
      <c r="D17" s="4" t="inlineStr">
        <is>
          <t>[Revisar families]</t>
        </is>
      </c>
      <c r="E17" s="4" t="inlineStr">
        <is>
          <t>[A confirmar]</t>
        </is>
      </c>
      <c r="F17" s="5" t="inlineStr">
        <is>
          <t>Per contactar</t>
        </is>
      </c>
      <c r="G17" s="6" t="n">
        <v>2500</v>
      </c>
      <c r="H17" s="7" t="n">
        <v>0.4</v>
      </c>
      <c r="I17" s="8">
        <f>G17*H17</f>
        <v>1000</v>
      </c>
      <c r="J17" s="4" t="n"/>
    </row>
    <row r="18">
      <c r="A18" s="4" t="inlineStr">
        <is>
          <t>[Supermercat de barri]</t>
        </is>
      </c>
      <c r="B18" s="4" t="inlineStr">
        <is>
          <t>Retail / comerc</t>
        </is>
      </c>
      <c r="C18" s="4" t="inlineStr">
        <is>
          <t>Bronze</t>
        </is>
      </c>
      <c r="D18" s="4" t="inlineStr">
        <is>
          <t>No</t>
        </is>
      </c>
      <c r="E18" s="4" t="inlineStr">
        <is>
          <t>[A confirmar]</t>
        </is>
      </c>
      <c r="F18" s="5" t="inlineStr">
        <is>
          <t>Per contactar</t>
        </is>
      </c>
      <c r="G18" s="6" t="n">
        <v>2000</v>
      </c>
      <c r="H18" s="7" t="n">
        <v>0.25</v>
      </c>
      <c r="I18" s="8">
        <f>G18*H18</f>
        <v>500</v>
      </c>
      <c r="J18" s="4" t="n"/>
    </row>
    <row r="19">
      <c r="A19" s="4" t="inlineStr">
        <is>
          <t>[Botiga de tecnologia / informatica]</t>
        </is>
      </c>
      <c r="B19" s="4" t="inlineStr">
        <is>
          <t>Retail / comerc</t>
        </is>
      </c>
      <c r="C19" s="4" t="inlineStr">
        <is>
          <t>Bronze</t>
        </is>
      </c>
      <c r="D19" s="4" t="inlineStr">
        <is>
          <t>No</t>
        </is>
      </c>
      <c r="E19" s="4" t="inlineStr">
        <is>
          <t>[A confirmar]</t>
        </is>
      </c>
      <c r="F19" s="5" t="inlineStr">
        <is>
          <t>Per contactar</t>
        </is>
      </c>
      <c r="G19" s="6" t="n">
        <v>1500</v>
      </c>
      <c r="H19" s="7" t="n">
        <v>0.2</v>
      </c>
      <c r="I19" s="8">
        <f>G19*H19</f>
        <v>300</v>
      </c>
      <c r="J19" s="4" t="n"/>
    </row>
    <row r="20">
      <c r="A20" s="4" t="inlineStr">
        <is>
          <t>[Empresa de reformes / constructora]</t>
        </is>
      </c>
      <c r="B20" s="4" t="inlineStr">
        <is>
          <t>Construccio / automocio</t>
        </is>
      </c>
      <c r="C20" s="4" t="inlineStr">
        <is>
          <t>Plata</t>
        </is>
      </c>
      <c r="D20" s="4" t="inlineStr">
        <is>
          <t>[Revisar families]</t>
        </is>
      </c>
      <c r="E20" s="4" t="inlineStr">
        <is>
          <t>[A confirmar]</t>
        </is>
      </c>
      <c r="F20" s="5" t="inlineStr">
        <is>
          <t>Per contactar</t>
        </is>
      </c>
      <c r="G20" s="6" t="n">
        <v>4000</v>
      </c>
      <c r="H20" s="7" t="n">
        <v>0.25</v>
      </c>
      <c r="I20" s="8">
        <f>G20*H20</f>
        <v>1000</v>
      </c>
      <c r="J20" s="4" t="n"/>
    </row>
    <row r="21">
      <c r="A21" s="4" t="inlineStr">
        <is>
          <t>[Concessionari / taller]</t>
        </is>
      </c>
      <c r="B21" s="4" t="inlineStr">
        <is>
          <t>Construccio / automocio</t>
        </is>
      </c>
      <c r="C21" s="4" t="inlineStr">
        <is>
          <t>Or</t>
        </is>
      </c>
      <c r="D21" s="4" t="inlineStr">
        <is>
          <t>No</t>
        </is>
      </c>
      <c r="E21" s="4" t="inlineStr">
        <is>
          <t>[A confirmar]</t>
        </is>
      </c>
      <c r="F21" s="5" t="inlineStr">
        <is>
          <t>Per contactar</t>
        </is>
      </c>
      <c r="G21" s="6" t="n">
        <v>8000</v>
      </c>
      <c r="H21" s="7" t="n">
        <v>0.15</v>
      </c>
      <c r="I21" s="8">
        <f>G21*H21</f>
        <v>1200</v>
      </c>
      <c r="J21" s="4" t="n"/>
    </row>
    <row r="22">
      <c r="A22" s="4" t="inlineStr">
        <is>
          <t>[Empresa de transport / autocars]</t>
        </is>
      </c>
      <c r="B22" s="4" t="inlineStr">
        <is>
          <t>Especie (transport)</t>
        </is>
      </c>
      <c r="C22" s="4" t="inlineStr">
        <is>
          <t>Especie</t>
        </is>
      </c>
      <c r="D22" s="4" t="inlineStr">
        <is>
          <t>No</t>
        </is>
      </c>
      <c r="E22" s="4" t="inlineStr">
        <is>
          <t>[A confirmar]</t>
        </is>
      </c>
      <c r="F22" s="5" t="inlineStr">
        <is>
          <t>Per contactar</t>
        </is>
      </c>
      <c r="G22" s="6" t="n">
        <v>3000</v>
      </c>
      <c r="H22" s="7" t="n">
        <v>0.3</v>
      </c>
      <c r="I22" s="8">
        <f>G22*H22</f>
        <v>900</v>
      </c>
      <c r="J22" s="4" t="n"/>
    </row>
    <row r="23">
      <c r="A23" s="4" t="inlineStr">
        <is>
          <t>[Impremta / arts grafiques]</t>
        </is>
      </c>
      <c r="B23" s="4" t="inlineStr">
        <is>
          <t>Especie (impressio)</t>
        </is>
      </c>
      <c r="C23" s="4" t="inlineStr">
        <is>
          <t>Especie</t>
        </is>
      </c>
      <c r="D23" s="4" t="inlineStr">
        <is>
          <t>No</t>
        </is>
      </c>
      <c r="E23" s="4" t="inlineStr">
        <is>
          <t>[A confirmar]</t>
        </is>
      </c>
      <c r="F23" s="5" t="inlineStr">
        <is>
          <t>Per contactar</t>
        </is>
      </c>
      <c r="G23" s="6" t="n">
        <v>1500</v>
      </c>
      <c r="H23" s="7" t="n">
        <v>0.35</v>
      </c>
      <c r="I23" s="8">
        <f>G23*H23</f>
        <v>525</v>
      </c>
      <c r="J23" s="4" t="n"/>
    </row>
    <row r="24">
      <c r="A24" s="4" t="inlineStr">
        <is>
          <t>[Estudi de foto / video]</t>
        </is>
      </c>
      <c r="B24" s="4" t="inlineStr">
        <is>
          <t>Especie (audiovisual)</t>
        </is>
      </c>
      <c r="C24" s="4" t="inlineStr">
        <is>
          <t>Especie</t>
        </is>
      </c>
      <c r="D24" s="4" t="inlineStr">
        <is>
          <t>[Revisar families]</t>
        </is>
      </c>
      <c r="E24" s="4" t="inlineStr">
        <is>
          <t>[A confirmar]</t>
        </is>
      </c>
      <c r="F24" s="5" t="inlineStr">
        <is>
          <t>Per contactar</t>
        </is>
      </c>
      <c r="G24" s="6" t="n">
        <v>2000</v>
      </c>
      <c r="H24" s="7" t="n">
        <v>0.3</v>
      </c>
      <c r="I24" s="8">
        <f>G24*H24</f>
        <v>600</v>
      </c>
      <c r="J24" s="4" t="n"/>
    </row>
    <row r="25">
      <c r="A25" s="4" t="inlineStr">
        <is>
          <t>[Centre comercial / ancla del barri #2]</t>
        </is>
      </c>
      <c r="B25" s="4" t="inlineStr">
        <is>
          <t>Gran ancla</t>
        </is>
      </c>
      <c r="C25" s="4" t="inlineStr">
        <is>
          <t>Or</t>
        </is>
      </c>
      <c r="D25" s="4" t="inlineStr">
        <is>
          <t>No</t>
        </is>
      </c>
      <c r="E25" s="4" t="inlineStr">
        <is>
          <t>[A confirmar]</t>
        </is>
      </c>
      <c r="F25" s="5" t="inlineStr">
        <is>
          <t>Per contactar</t>
        </is>
      </c>
      <c r="G25" s="6" t="n">
        <v>15000</v>
      </c>
      <c r="H25" s="7" t="n">
        <v>0.1</v>
      </c>
      <c r="I25" s="8">
        <f>G25*H25</f>
        <v>1500</v>
      </c>
      <c r="J25" s="4" t="n"/>
    </row>
    <row r="26">
      <c r="A26" s="4" t="inlineStr">
        <is>
          <t>[Nou target]</t>
        </is>
      </c>
      <c r="B26" s="4" t="inlineStr"/>
      <c r="C26" s="4" t="inlineStr">
        <is>
          <t>A definir</t>
        </is>
      </c>
      <c r="D26" s="4" t="inlineStr"/>
      <c r="E26" s="4" t="inlineStr">
        <is>
          <t>[A confirmar]</t>
        </is>
      </c>
      <c r="F26" s="5" t="inlineStr">
        <is>
          <t>Per contactar</t>
        </is>
      </c>
      <c r="G26" s="6" t="n">
        <v>0</v>
      </c>
      <c r="H26" s="7" t="n">
        <v>0</v>
      </c>
      <c r="I26" s="8">
        <f>G26*H26</f>
        <v>0</v>
      </c>
      <c r="J26" s="4" t="n"/>
    </row>
    <row r="27">
      <c r="A27" s="4" t="inlineStr">
        <is>
          <t>[Nou target]</t>
        </is>
      </c>
      <c r="B27" s="4" t="inlineStr"/>
      <c r="C27" s="4" t="inlineStr">
        <is>
          <t>A definir</t>
        </is>
      </c>
      <c r="D27" s="4" t="inlineStr"/>
      <c r="E27" s="4" t="inlineStr">
        <is>
          <t>[A confirmar]</t>
        </is>
      </c>
      <c r="F27" s="5" t="inlineStr">
        <is>
          <t>Per contactar</t>
        </is>
      </c>
      <c r="G27" s="6" t="n">
        <v>0</v>
      </c>
      <c r="H27" s="7" t="n">
        <v>0</v>
      </c>
      <c r="I27" s="8">
        <f>G27*H27</f>
        <v>0</v>
      </c>
      <c r="J27" s="4" t="n"/>
    </row>
    <row r="28">
      <c r="A28" s="4" t="inlineStr">
        <is>
          <t>[Nou target]</t>
        </is>
      </c>
      <c r="B28" s="4" t="inlineStr"/>
      <c r="C28" s="4" t="inlineStr">
        <is>
          <t>A definir</t>
        </is>
      </c>
      <c r="D28" s="4" t="inlineStr"/>
      <c r="E28" s="4" t="inlineStr">
        <is>
          <t>[A confirmar]</t>
        </is>
      </c>
      <c r="F28" s="5" t="inlineStr">
        <is>
          <t>Per contactar</t>
        </is>
      </c>
      <c r="G28" s="6" t="n">
        <v>0</v>
      </c>
      <c r="H28" s="7" t="n">
        <v>0</v>
      </c>
      <c r="I28" s="8">
        <f>G28*H28</f>
        <v>0</v>
      </c>
      <c r="J28" s="4" t="n"/>
    </row>
    <row r="30">
      <c r="A30" s="9" t="inlineStr">
        <is>
          <t>TOTAL PIPELINE PONDERAT</t>
        </is>
      </c>
      <c r="B30" s="10" t="n"/>
      <c r="C30" s="10" t="n"/>
      <c r="D30" s="10" t="n"/>
      <c r="E30" s="10" t="n"/>
      <c r="F30" s="10" t="n"/>
      <c r="G30" s="11">
        <f>SUM(G5:G28)</f>
        <v>86000</v>
      </c>
      <c r="H30" s="10" t="n"/>
      <c r="I30" s="11">
        <f>SUM(I5:I28)</f>
        <v>19275</v>
      </c>
      <c r="J30" s="10" t="n"/>
      <c r="K30" s="10" t="n"/>
    </row>
  </sheetData>
  <mergeCells count="2">
    <mergeCell ref="A2:K2"/>
    <mergeCell ref="A1:K1"/>
  </mergeCells>
  <dataValidations count="2">
    <dataValidation sqref="F5 F6 F7 F8 F9 F10 F11 F12 F13 F14 F15 F16 F17 F18 F19 F20 F21 F22 F23 F24 F25 F26 F27 F28" showDropDown="0" showInputMessage="0" showErrorMessage="0" allowBlank="1" type="list">
      <formula1>"Per contactar,Contactat,Reunio agendada,Proposta enviada,Negociacio,Tancat-Guanyat,Tancat-Perdut,Ajornat"</formula1>
    </dataValidation>
    <dataValidation sqref="C5 C6 C7 C8 C9 C10 C11 C12 C13 C14 C15 C16 C17 C18 C19 C20 C21 C22 C23 C24 C25 C26 C27 C28" showDropDown="0" showInputMessage="0" showErrorMessage="0" allowBlank="1" type="list">
      <formula1>"Or,Plata,Bronze,Especie,A definir"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22" customWidth="1" min="4" max="4"/>
    <col width="18" customWidth="1" min="5" max="5"/>
    <col width="46" customWidth="1" min="6" max="6"/>
  </cols>
  <sheetData>
    <row r="1" ht="24" customHeight="1">
      <c r="A1" s="1" t="inlineStr">
        <is>
          <t>NIVELLS I RANGS DE PREU 2026-27  (PLACEHOLDER — US INTERN, VALIDAR AMB JUNTA)</t>
        </is>
      </c>
    </row>
    <row r="3" ht="30" customHeight="1">
      <c r="A3" s="3" t="inlineStr">
        <is>
          <t>Nivell</t>
        </is>
      </c>
      <c r="B3" s="3" t="inlineStr">
        <is>
          <t>Rang preu/any (EUR) — PLACEHOLDER</t>
        </is>
      </c>
      <c r="C3" s="3" t="inlineStr">
        <is>
          <t>Places</t>
        </is>
      </c>
      <c r="D3" s="3" t="inlineStr">
        <is>
          <t>Preu de referencia (EUR)</t>
        </is>
      </c>
      <c r="E3" s="3" t="inlineStr">
        <is>
          <t>Exclusivitat</t>
        </is>
      </c>
      <c r="F3" s="3" t="inlineStr">
        <is>
          <t>Contraprestacio clau</t>
        </is>
      </c>
    </row>
    <row r="4" ht="34" customHeight="1">
      <c r="A4" s="5" t="inlineStr">
        <is>
          <t>OR — Partner principal</t>
        </is>
      </c>
      <c r="B4" s="5" t="inlineStr">
        <is>
          <t>8.000 - 15.000</t>
        </is>
      </c>
      <c r="C4" s="5" t="n">
        <v>1</v>
      </c>
      <c r="D4" s="6" t="n">
        <v>12000</v>
      </c>
      <c r="E4" s="5" t="inlineStr">
        <is>
          <t>Exclusiva de sector</t>
        </is>
      </c>
      <c r="F4" s="5" t="inlineStr">
        <is>
          <t>Naming/logo pit samarreta + video de marca anual + co-branding d'un event</t>
        </is>
      </c>
    </row>
    <row r="5" ht="34" customHeight="1">
      <c r="A5" s="5" t="inlineStr">
        <is>
          <t>PLATA — Partner</t>
        </is>
      </c>
      <c r="B5" s="5" t="inlineStr">
        <is>
          <t>3.000 - 5.000</t>
        </is>
      </c>
      <c r="C5" s="5" t="n">
        <v>4</v>
      </c>
      <c r="D5" s="6" t="n">
        <v>4000</v>
      </c>
      <c r="E5" s="5" t="inlineStr">
        <is>
          <t>No</t>
        </is>
      </c>
      <c r="F5" s="5" t="inlineStr">
        <is>
          <t>Logo equipacio/escalfament + 1 reel dedicat + activacio 3x3/campus</t>
        </is>
      </c>
    </row>
    <row r="6" ht="34" customHeight="1">
      <c r="A6" s="5" t="inlineStr">
        <is>
          <t>BRONZE — Col.laborador</t>
        </is>
      </c>
      <c r="B6" s="5" t="inlineStr">
        <is>
          <t>1.000 - 2.500</t>
        </is>
      </c>
      <c r="C6" s="5" t="n">
        <v>8</v>
      </c>
      <c r="D6" s="6" t="n">
        <v>1800</v>
      </c>
      <c r="E6" s="5" t="inlineStr">
        <is>
          <t>No</t>
        </is>
      </c>
      <c r="F6" s="5" t="inlineStr">
        <is>
          <t>Logo web i mur de partners + benvinguda a xarxes + lones i cartelleria</t>
        </is>
      </c>
    </row>
    <row r="7" ht="34" customHeight="1">
      <c r="A7" s="5" t="inlineStr">
        <is>
          <t>ESPECIE / a mida</t>
        </is>
      </c>
      <c r="B7" s="5" t="inlineStr">
        <is>
          <t>Valor equivalent</t>
        </is>
      </c>
      <c r="C7" s="5" t="inlineStr">
        <is>
          <t>s/n</t>
        </is>
      </c>
      <c r="D7" s="6" t="n">
        <v>0</v>
      </c>
      <c r="E7" s="5" t="inlineStr">
        <is>
          <t>Segons encaix</t>
        </is>
      </c>
      <c r="F7" s="5" t="inlineStr">
        <is>
          <t>Contraprestacio equivalent al valor aportat, mateix tracte de relacio</t>
        </is>
      </c>
    </row>
    <row r="10">
      <c r="A10" s="9" t="inlineStr">
        <is>
          <t>ESCENARIS D'INGRESSOS (formula sobre preus de referencia)</t>
        </is>
      </c>
    </row>
    <row r="11">
      <c r="A11" s="3" t="inlineStr">
        <is>
          <t>Escenari</t>
        </is>
      </c>
      <c r="B11" s="3" t="inlineStr">
        <is>
          <t>Or</t>
        </is>
      </c>
      <c r="C11" s="3" t="inlineStr">
        <is>
          <t>Plata</t>
        </is>
      </c>
      <c r="D11" s="3" t="inlineStr">
        <is>
          <t>Bronze</t>
        </is>
      </c>
      <c r="E11" s="3" t="inlineStr">
        <is>
          <t>Formula</t>
        </is>
      </c>
      <c r="F11" s="3" t="inlineStr">
        <is>
          <t>Total (EUR)</t>
        </is>
      </c>
    </row>
    <row r="12">
      <c r="A12" s="12" t="inlineStr">
        <is>
          <t>Conservador</t>
        </is>
      </c>
      <c r="B12" s="8" t="n">
        <v>8000</v>
      </c>
      <c r="C12" s="8" t="n">
        <v>3000</v>
      </c>
      <c r="D12" s="8" t="n">
        <v>1000</v>
      </c>
      <c r="E12" s="13" t="inlineStr">
        <is>
          <t>8000+3*3000+6*1000</t>
        </is>
      </c>
      <c r="F12" s="14">
        <f>8000+3*3000+6*1000</f>
        <v>23000</v>
      </c>
    </row>
    <row r="13">
      <c r="A13" s="12" t="inlineStr">
        <is>
          <t>Objectiu</t>
        </is>
      </c>
      <c r="B13" s="8" t="n">
        <v>12000</v>
      </c>
      <c r="C13" s="8" t="n">
        <v>4000</v>
      </c>
      <c r="D13" s="8" t="n">
        <v>1800</v>
      </c>
      <c r="E13" s="13" t="inlineStr">
        <is>
          <t>12000+4*4000+7*1800</t>
        </is>
      </c>
      <c r="F13" s="14">
        <f>12000+4*4000+7*1800</f>
        <v>40600</v>
      </c>
    </row>
    <row r="14">
      <c r="A14" s="12" t="inlineStr">
        <is>
          <t>Ambicios</t>
        </is>
      </c>
      <c r="B14" s="8" t="n">
        <v>15000</v>
      </c>
      <c r="C14" s="8" t="n">
        <v>5000</v>
      </c>
      <c r="D14" s="8" t="n">
        <v>2500</v>
      </c>
      <c r="E14" s="13" t="inlineStr">
        <is>
          <t>15000+4*5000+8*2500</t>
        </is>
      </c>
      <c r="F14" s="14">
        <f>15000+4*5000+8*2500</f>
        <v>55000</v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  <col width="34" customWidth="1" min="4" max="4"/>
  </cols>
  <sheetData>
    <row r="1" ht="24" customHeight="1">
      <c r="A1" s="1" t="inlineStr">
        <is>
          <t>CALENDARI DE CAPTACIO PER ONADES · TEMPORADA 2026-27</t>
        </is>
      </c>
    </row>
    <row r="3" ht="26" customHeight="1">
      <c r="A3" s="3" t="inlineStr">
        <is>
          <t>Periode</t>
        </is>
      </c>
      <c r="B3" s="3" t="inlineStr">
        <is>
          <t>Onada / focus</t>
        </is>
      </c>
      <c r="C3" s="3" t="inlineStr">
        <is>
          <t>Accions clau</t>
        </is>
      </c>
      <c r="D3" s="3" t="inlineStr">
        <is>
          <t>Objectiu</t>
        </is>
      </c>
    </row>
    <row r="4" ht="40" customHeight="1">
      <c r="A4" s="12" t="inlineStr">
        <is>
          <t>Juliol 2026 (pretemporada)</t>
        </is>
      </c>
      <c r="B4" s="5" t="inlineStr">
        <is>
          <t>Preparacio</t>
        </is>
      </c>
      <c r="C4" s="5" t="inlineStr">
        <is>
          <t>Dossier i reel llestos; 25 targets a la fulla; preus validats amb Junta</t>
        </is>
      </c>
      <c r="D4" s="5" t="inlineStr">
        <is>
          <t>Sortir a vendre amb tot preparat</t>
        </is>
      </c>
    </row>
    <row r="5" ht="40" customHeight="1">
      <c r="A5" s="12" t="inlineStr">
        <is>
          <t>Agost 2026</t>
        </is>
      </c>
      <c r="B5" s="5" t="inlineStr">
        <is>
          <t>OR (ancora)</t>
        </is>
      </c>
      <c r="C5" s="5" t="inlineStr">
        <is>
          <t>2-3 reunions Or; naming samarreta; tancar la gran ancora del barri</t>
        </is>
      </c>
      <c r="D5" s="5" t="inlineStr">
        <is>
          <t>1 Or signat o molt avancat</t>
        </is>
      </c>
    </row>
    <row r="6" ht="40" customHeight="1">
      <c r="A6" s="12" t="inlineStr">
        <is>
          <t>Setembre 2026</t>
        </is>
      </c>
      <c r="B6" s="5" t="inlineStr">
        <is>
          <t>PLATA + OR</t>
        </is>
      </c>
      <c r="C6" s="5" t="inlineStr">
        <is>
          <t>Ronda Plata; activar vincles de families; equipacions abans de lliga</t>
        </is>
      </c>
      <c r="D6" s="5" t="inlineStr">
        <is>
          <t>3-4 Plata + tancar Or</t>
        </is>
      </c>
    </row>
    <row r="7" ht="40" customHeight="1">
      <c r="A7" s="12" t="inlineStr">
        <is>
          <t>Octubre 2026</t>
        </is>
      </c>
      <c r="B7" s="5" t="inlineStr">
        <is>
          <t>BRONZE + ESPECIE</t>
        </is>
      </c>
      <c r="C7" s="5" t="inlineStr">
        <is>
          <t>Email/visita a comercos; tancar col.laboracions en especie</t>
        </is>
      </c>
      <c r="D7" s="5" t="inlineStr">
        <is>
          <t>6-8 Bronze + especies clau</t>
        </is>
      </c>
    </row>
    <row r="8" ht="40" customHeight="1">
      <c r="A8" s="12" t="inlineStr">
        <is>
          <t>Nov-Des 2026</t>
        </is>
      </c>
      <c r="B8" s="5" t="inlineStr">
        <is>
          <t>Completar + activar</t>
        </is>
      </c>
      <c r="C8" s="5" t="inlineStr">
        <is>
          <t>Omplir places; activacions; onboarding de partners nous</t>
        </is>
      </c>
      <c r="D8" s="5" t="inlineStr">
        <is>
          <t>Places plenes + primers informes</t>
        </is>
      </c>
    </row>
    <row r="9" ht="40" customHeight="1">
      <c r="A9" s="12" t="inlineStr">
        <is>
          <t>Gen-Mar 2027</t>
        </is>
      </c>
      <c r="B9" s="5" t="inlineStr">
        <is>
          <t>Manteniment</t>
        </is>
      </c>
      <c r="C9" s="5" t="inlineStr">
        <is>
          <t>Informe trimestral; activacions; captacio lligada al 3x3</t>
        </is>
      </c>
      <c r="D9" s="5" t="inlineStr">
        <is>
          <t>Renovacio anticipada + nous leads</t>
        </is>
      </c>
    </row>
    <row r="10" ht="40" customHeight="1">
      <c r="A10" s="12" t="inlineStr">
        <is>
          <t>Abr-Jun 2027</t>
        </is>
      </c>
      <c r="B10" s="5" t="inlineStr">
        <is>
          <t>Renovacio</t>
        </is>
      </c>
      <c r="C10" s="5" t="inlineStr">
        <is>
          <t>Informe de retorn; renovacio amb millora; demanar referits</t>
        </is>
      </c>
      <c r="D10" s="5" t="inlineStr">
        <is>
          <t>Renovar &gt;70% + referits per 27-28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46" customWidth="1" min="4" max="4"/>
  </cols>
  <sheetData>
    <row r="1" ht="24" customHeight="1">
      <c r="A1" s="1" t="inlineStr">
        <is>
          <t>COL.LABORACIONS EN ESPECIE · valoritzem l'aportacio (US INTERN)</t>
        </is>
      </c>
    </row>
    <row r="3" ht="30" customHeight="1">
      <c r="A3" s="3" t="inlineStr">
        <is>
          <t>Necessitat del club</t>
        </is>
      </c>
      <c r="B3" s="3" t="inlineStr">
        <is>
          <t>Tipus d'empresa</t>
        </is>
      </c>
      <c r="C3" s="3" t="inlineStr">
        <is>
          <t>Valor equivalent (EUR) — PLACEHOLDER</t>
        </is>
      </c>
      <c r="D3" s="3" t="inlineStr">
        <is>
          <t>Contraprestacio</t>
        </is>
      </c>
    </row>
    <row r="4" ht="28" customHeight="1">
      <c r="A4" s="5" t="inlineStr">
        <is>
          <t>Material esportiu</t>
        </is>
      </c>
      <c r="B4" s="5" t="inlineStr">
        <is>
          <t>Botiga d'esport</t>
        </is>
      </c>
      <c r="C4" s="8" t="n">
        <v>2500</v>
      </c>
      <c r="D4" s="5" t="inlineStr">
        <is>
          <t>Nivell Plata: logo escalfament + reel dedicat</t>
        </is>
      </c>
    </row>
    <row r="5" ht="28" customHeight="1">
      <c r="A5" s="5" t="inlineStr">
        <is>
          <t>Fisioterapia dels equips</t>
        </is>
      </c>
      <c r="B5" s="5" t="inlineStr">
        <is>
          <t>Clinica de fisio</t>
        </is>
      </c>
      <c r="C5" s="8" t="n">
        <v>4000</v>
      </c>
      <c r="D5" s="5" t="inlineStr">
        <is>
          <t>Nivell Plata + presencia al pavello</t>
        </is>
      </c>
    </row>
    <row r="6" ht="28" customHeight="1">
      <c r="A6" s="5" t="inlineStr">
        <is>
          <t>Transport / desplacaments</t>
        </is>
      </c>
      <c r="B6" s="5" t="inlineStr">
        <is>
          <t>Empresa de transport</t>
        </is>
      </c>
      <c r="C6" s="8" t="n">
        <v>3000</v>
      </c>
      <c r="D6" s="5" t="inlineStr">
        <is>
          <t>Logo als autocars + mencio a xarxes</t>
        </is>
      </c>
    </row>
    <row r="7" ht="28" customHeight="1">
      <c r="A7" s="5" t="inlineStr">
        <is>
          <t>Catering d'events</t>
        </is>
      </c>
      <c r="B7" s="5" t="inlineStr">
        <is>
          <t>Restauracio / forn</t>
        </is>
      </c>
      <c r="C7" s="8" t="n">
        <v>1500</v>
      </c>
      <c r="D7" s="5" t="inlineStr">
        <is>
          <t>Nivell Bronze + sampling a estand</t>
        </is>
      </c>
    </row>
    <row r="8" ht="28" customHeight="1">
      <c r="A8" s="5" t="inlineStr">
        <is>
          <t>Impressio de cartelleria</t>
        </is>
      </c>
      <c r="B8" s="5" t="inlineStr">
        <is>
          <t>Impremta</t>
        </is>
      </c>
      <c r="C8" s="8" t="n">
        <v>1500</v>
      </c>
      <c r="D8" s="5" t="inlineStr">
        <is>
          <t>Nivell Bronze + credit 'produccio per'</t>
        </is>
      </c>
    </row>
    <row r="9" ht="28" customHeight="1">
      <c r="A9" s="5" t="inlineStr">
        <is>
          <t>Foto/video puntual</t>
        </is>
      </c>
      <c r="B9" s="5" t="inlineStr">
        <is>
          <t>Estudi audiovisual</t>
        </is>
      </c>
      <c r="C9" s="8" t="n">
        <v>2000</v>
      </c>
      <c r="D9" s="5" t="inlineStr">
        <is>
          <t>Credit + pack de continguts del club</t>
        </is>
      </c>
    </row>
    <row r="10">
      <c r="A10" s="15" t="inlineStr">
        <is>
          <t>TOTAL VALOR EQUIVALENT EN ESPECIE</t>
        </is>
      </c>
      <c r="B10" s="10" t="n"/>
      <c r="C10" s="16">
        <f>SUM(C4:C9)</f>
        <v>14500</v>
      </c>
      <c r="D10" s="10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2026-09-24T15:53:18Z</dcterms:created>
  <dcterms:modified xmlns:dcterms="http://purl.org/dc/terms/" xmlns:xsi="http://www.w3.org/2001/XMLSchema-instance" xsi:type="dcterms:W3CDTF">2026-09-24T15:53:18Z</dcterms:modified>
</cp:coreProperties>
</file>